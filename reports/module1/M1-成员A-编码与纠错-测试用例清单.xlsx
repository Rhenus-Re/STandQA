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9ce135a1b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清单" sheetId="1" r:id="R18dc451959cc4cd1"/>
    <x:sheet xmlns:r="http://schemas.openxmlformats.org/officeDocument/2006/relationships" name="执行记录" sheetId="2" r:id="R4f5841fd8ae0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6666"/>
      <x:name val="Carlito"/>
    </x:font>
    <x:font>
      <x:b/>
      <x:sz val="11"/>
      <x:color rgb="FF1F4E78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fd1b4e0d44b40" /><Relationship Type="http://schemas.openxmlformats.org/officeDocument/2006/relationships/theme" Target="/xl/theme/theme1.xml" Id="R169309055f144813" /><Relationship Type="http://schemas.openxmlformats.org/officeDocument/2006/relationships/sharedStrings" Target="/xl/sharedStrings.xml" Id="Rff455925e5f0462d" /><Relationship Type="http://schemas.openxmlformats.org/officeDocument/2006/relationships/worksheet" Target="/xl/worksheets/sheet1.xml" Id="R18dc451959cc4cd1" /><Relationship Type="http://schemas.openxmlformats.org/officeDocument/2006/relationships/worksheet" Target="/xl/worksheets/sheet2.xml" Id="R4f5841fd8ae04f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2" hidden="0" customWidth="1"/>
    <x:col min="5" max="5" width="28" hidden="0" customWidth="1"/>
    <x:col min="6" max="6" width="34" hidden="0" customWidth="1"/>
    <x:col min="7" max="7" width="18" hidden="0" customWidth="1"/>
    <x:col min="8" max="8" width="12" hidden="0" customWidth="1"/>
    <x:col min="9" max="9" width="12" hidden="0" customWidth="1"/>
    <x:col min="10" max="10" width="34" hidden="0" customWidth="1"/>
  </x:cols>
  <x:sheetData>
    <x:row r="1" ht="30" customHeight="1">
      <x:c r="A1" s="4" t="str">
        <x:v>模块一 · 成员 A · 编码与纠错测试用例清单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6" t="str">
        <x:v>被测版本：python-qrcode v8.2  |  基线：7daa4ff  |  范围：util.py、base.py、LUT.py、constants.py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0" t="str">
        <x:v>用例总数</x:v>
      </x:c>
      <x:c r="B4" s="10" t="str">
        <x:v>通过</x:v>
      </x:c>
      <x:c r="C4" s="10" t="str">
        <x:v>失败</x:v>
      </x:c>
      <x:c r="D4" s="10" t="str">
        <x:v>状态</x:v>
      </x:c>
      <x:c r="F4" s="10" t="str">
        <x:v>设计方法</x:v>
      </x:c>
      <x:c r="G4" s="10" t="str">
        <x:v>等价类</x:v>
      </x:c>
      <x:c r="H4" s="10" t="str">
        <x:v>边界值</x:v>
      </x:c>
      <x:c r="I4" s="10" t="str">
        <x:v>场景法</x:v>
      </x:c>
      <x:c r="J4" s="10" t="str">
        <x:v>说明</x:v>
      </x:c>
    </x:row>
    <x:row r="5">
      <x:c r="A5" s="14" t="n">
        <x:f>COUNTA(A8:A19)</x:f>
        <x:v>12</x:v>
      </x:c>
      <x:c r="B5" s="14" t="n">
        <x:f>COUNTIF(I8:I19,"通过")</x:f>
        <x:v>12</x:v>
      </x:c>
      <x:c r="C5" s="14" t="n">
        <x:f>COUNTIF(I8:I19,"失败")</x:f>
        <x:v>0</x:v>
      </x:c>
      <x:c r="D5" s="14" t="str">
        <x:f>IF(C5=0,"全部通过","存在失败")</x:f>
        <x:v>全部通过</x:v>
      </x:c>
      <x:c r="F5" s="17" t="str">
        <x:v>覆盖情况</x:v>
      </x:c>
      <x:c r="G5" s="17" t="str">
        <x:v>4 条</x:v>
      </x:c>
      <x:c r="H5" s="17" t="str">
        <x:v>5 条</x:v>
      </x:c>
      <x:c r="I5" s="17" t="str">
        <x:v>3 条</x:v>
      </x:c>
      <x:c r="J5" s="17" t="str">
        <x:v>至少覆盖三种方法</x:v>
      </x:c>
    </x:row>
    <x:row r="7" ht="34" customHeight="1">
      <x:c r="A7" s="22" t="str">
        <x:v>编号</x:v>
      </x:c>
      <x:c r="B7" s="22" t="str">
        <x:v>功能点</x:v>
      </x:c>
      <x:c r="C7" s="22" t="str">
        <x:v>需求依据</x:v>
      </x:c>
      <x:c r="D7" s="22" t="str">
        <x:v>方法</x:v>
      </x:c>
      <x:c r="E7" s="22" t="str">
        <x:v>输入/前置</x:v>
      </x:c>
      <x:c r="F7" s="22" t="str">
        <x:v>预期结果</x:v>
      </x:c>
      <x:c r="G7" s="22" t="str">
        <x:v>实际结果</x:v>
      </x:c>
      <x:c r="H7" s="22" t="str">
        <x:v>负责人</x:v>
      </x:c>
      <x:c r="I7" s="22" t="str">
        <x:v>执行结果</x:v>
      </x:c>
      <x:c r="J7" s="22" t="str">
        <x:v>关联源码</x:v>
      </x:c>
    </x:row>
    <x:row r="8">
      <x:c r="A8" s="26" t="str">
        <x:v>TC-A-01</x:v>
      </x:c>
      <x:c r="B8" s="25" t="str">
        <x:v>编码模式识别</x:v>
      </x:c>
      <x:c r="C8" s="25" t="str">
        <x:v>QR 数据按数字、字母数字或字节模式编码</x:v>
      </x:c>
      <x:c r="D8" s="25" t="str">
        <x:v>等价类</x:v>
      </x:c>
      <x:c r="E8" s="25" t="str">
        <x:v>012345；A1 $%；lower-case</x:v>
      </x:c>
      <x:c r="F8" s="25" t="str">
        <x:v>分别得到 NUMBER、ALPHA_NUM、8BIT_BYTE</x:v>
      </x:c>
      <x:c r="G8" s="25" t="str">
        <x:v>与预期一致</x:v>
      </x:c>
      <x:c r="H8" s="25" t="str">
        <x:v>成员 A</x:v>
      </x:c>
      <x:c r="I8" s="29" t="str">
        <x:v>通过</x:v>
      </x:c>
      <x:c r="J8" s="25" t="str">
        <x:v>util.py::optimal_mode</x:v>
      </x:c>
    </x:row>
    <x:row r="9">
      <x:c r="A9" s="26" t="str">
        <x:v>TC-A-02</x:v>
      </x:c>
      <x:c r="B9" s="25" t="str">
        <x:v>数据分段</x:v>
      </x:c>
      <x:c r="C9" s="25" t="str">
        <x:v>连续数据按更紧凑模式拆分</x:v>
      </x:c>
      <x:c r="D9" s="25" t="str">
        <x:v>场景法</x:v>
      </x:c>
      <x:c r="E9" s="25" t="str">
        <x:v>ABCD1234abcd；minimum=4</x:v>
      </x:c>
      <x:c r="F9" s="25" t="str">
        <x:v>字母数字/数字/字节三段</x:v>
      </x:c>
      <x:c r="G9" s="25" t="str">
        <x:v>与预期一致</x:v>
      </x:c>
      <x:c r="H9" s="25" t="str">
        <x:v>成员 A</x:v>
      </x:c>
      <x:c r="I9" s="29" t="str">
        <x:v>通过</x:v>
      </x:c>
      <x:c r="J9" s="25" t="str">
        <x:v>util.py::optimal_data_chunks</x:v>
      </x:c>
    </x:row>
    <x:row r="10">
      <x:c r="A10" s="26" t="str">
        <x:v>TC-A-03</x:v>
      </x:c>
      <x:c r="B10" s="25" t="str">
        <x:v>分段阈值</x:v>
      </x:c>
      <x:c r="C10" s="25" t="str">
        <x:v>minimum 是可拆分连续段的最小长度</x:v>
      </x:c>
      <x:c r="D10" s="25" t="str">
        <x:v>边界值</x:v>
      </x:c>
      <x:c r="E10" s="25" t="str">
        <x:v>abc1234XYZ；minimum=4</x:v>
      </x:c>
      <x:c r="F10" s="25" t="str">
        <x:v>仅 1234 成为数字段</x:v>
      </x:c>
      <x:c r="G10" s="25" t="str">
        <x:v>与预期一致</x:v>
      </x:c>
      <x:c r="H10" s="25" t="str">
        <x:v>成员 A</x:v>
      </x:c>
      <x:c r="I10" s="29" t="str">
        <x:v>通过</x:v>
      </x:c>
      <x:c r="J10" s="25" t="str">
        <x:v>util.py::optimal_data_chunks</x:v>
      </x:c>
    </x:row>
    <x:row r="11">
      <x:c r="A11" s="26" t="str">
        <x:v>TC-A-04</x:v>
      </x:c>
      <x:c r="B11" s="25" t="str">
        <x:v>数字 QRData 位流</x:v>
      </x:c>
      <x:c r="C11" s="25" t="str">
        <x:v>3 位组用 10 位，余数按 NUMBER_LENGTH 编码</x:v>
      </x:c>
      <x:c r="D11" s="25" t="str">
        <x:v>边界值</x:v>
      </x:c>
      <x:c r="E11" s="25" t="str">
        <x:v>数字 12345</x:v>
      </x:c>
      <x:c r="F11" s="25" t="str">
        <x:v>17 位：00011110110101101</x:v>
      </x:c>
      <x:c r="G11" s="25" t="str">
        <x:v>与预期一致</x:v>
      </x:c>
      <x:c r="H11" s="25" t="str">
        <x:v>成员 A</x:v>
      </x:c>
      <x:c r="I11" s="29" t="str">
        <x:v>通过</x:v>
      </x:c>
      <x:c r="J11" s="25" t="str">
        <x:v>util.py::QRData.write</x:v>
      </x:c>
    </x:row>
    <x:row r="12">
      <x:c r="A12" s="26" t="str">
        <x:v>TC-A-05</x:v>
      </x:c>
      <x:c r="B12" s="25" t="str">
        <x:v>字母数字 QRData 位流</x:v>
      </x:c>
      <x:c r="C12" s="25" t="str">
        <x:v>两个字母数字字符合并为 11 位</x:v>
      </x:c>
      <x:c r="D12" s="25" t="str">
        <x:v>等价类</x:v>
      </x:c>
      <x:c r="E12" s="25" t="str">
        <x:v>A1</x:v>
      </x:c>
      <x:c r="F12" s="25" t="str">
        <x:v>11 位：00111000011</x:v>
      </x:c>
      <x:c r="G12" s="25" t="str">
        <x:v>与预期一致</x:v>
      </x:c>
      <x:c r="H12" s="25" t="str">
        <x:v>成员 A</x:v>
      </x:c>
      <x:c r="I12" s="29" t="str">
        <x:v>通过</x:v>
      </x:c>
      <x:c r="J12" s="25" t="str">
        <x:v>util.py::QRData.write</x:v>
      </x:c>
    </x:row>
    <x:row r="13">
      <x:c r="A13" s="26" t="str">
        <x:v>TC-A-06</x:v>
      </x:c>
      <x:c r="B13" s="25" t="str">
        <x:v>BitBuffer 跨字节</x:v>
      </x:c>
      <x:c r="C13" s="25" t="str">
        <x:v>位顺序跨 8 位边界保持一致</x:v>
      </x:c>
      <x:c r="D13" s="25" t="str">
        <x:v>边界值</x:v>
      </x:c>
      <x:c r="E13" s="25" t="str">
        <x:v>101 + 0 + 11110000</x:v>
      </x:c>
      <x:c r="F13" s="25" t="str">
        <x:v>12 位；缓存 [175, 0]</x:v>
      </x:c>
      <x:c r="G13" s="25" t="str">
        <x:v>与预期一致</x:v>
      </x:c>
      <x:c r="H13" s="25" t="str">
        <x:v>成员 A</x:v>
      </x:c>
      <x:c r="I13" s="29" t="str">
        <x:v>通过</x:v>
      </x:c>
      <x:c r="J13" s="25" t="str">
        <x:v>util.py::BitBuffer</x:v>
      </x:c>
    </x:row>
    <x:row r="14">
      <x:c r="A14" s="26" t="str">
        <x:v>TC-A-07</x:v>
      </x:c>
      <x:c r="B14" s="25" t="str">
        <x:v>字符计数位</x:v>
      </x:c>
      <x:c r="C14" s="25" t="str">
        <x:v>版本组 1–9、10–26、27–40 使用不同位宽</x:v>
      </x:c>
      <x:c r="D14" s="25" t="str">
        <x:v>边界值</x:v>
      </x:c>
      <x:c r="E14" s="25" t="str">
        <x:v>版本 1/9/10/26/27/40</x:v>
      </x:c>
      <x:c r="F14" s="25" t="str">
        <x:v>数字模式位宽 10/12/14</x:v>
      </x:c>
      <x:c r="G14" s="25" t="str">
        <x:v>与预期一致</x:v>
      </x:c>
      <x:c r="H14" s="25" t="str">
        <x:v>成员 A</x:v>
      </x:c>
      <x:c r="I14" s="29" t="str">
        <x:v>通过</x:v>
      </x:c>
      <x:c r="J14" s="25" t="str">
        <x:v>util.py::length_in_bits</x:v>
      </x:c>
    </x:row>
    <x:row r="15">
      <x:c r="A15" s="26" t="str">
        <x:v>TC-A-08</x:v>
      </x:c>
      <x:c r="B15" s="25" t="str">
        <x:v>容量边界</x:v>
      </x:c>
      <x:c r="C15" s="25" t="str">
        <x:v>v1-M 可用 128 数据位</x:v>
      </x:c>
      <x:c r="D15" s="25" t="str">
        <x:v>边界值</x:v>
      </x:c>
      <x:c r="E15" s="25" t="str">
        <x:v>14 与 15 个字节</x:v>
      </x:c>
      <x:c r="F15" s="25" t="str">
        <x:v>14 字节编码；15 字节抛 DataOverflowError</x:v>
      </x:c>
      <x:c r="G15" s="25" t="str">
        <x:v>与预期一致</x:v>
      </x:c>
      <x:c r="H15" s="25" t="str">
        <x:v>成员 A</x:v>
      </x:c>
      <x:c r="I15" s="29" t="str">
        <x:v>通过</x:v>
      </x:c>
      <x:c r="J15" s="25" t="str">
        <x:v>util.py::create_data</x:v>
      </x:c>
    </x:row>
    <x:row r="16">
      <x:c r="A16" s="26" t="str">
        <x:v>TC-A-09</x:v>
      </x:c>
      <x:c r="B16" s="25" t="str">
        <x:v>非法版本校验</x:v>
      </x:c>
      <x:c r="C16" s="25" t="str">
        <x:v>QR 版本有效范围为 1–40</x:v>
      </x:c>
      <x:c r="D16" s="25" t="str">
        <x:v>等价类</x:v>
      </x:c>
      <x:c r="E16" s="25" t="str">
        <x:v>版本 0、41</x:v>
      </x:c>
      <x:c r="F16" s="25" t="str">
        <x:v>rs_blocks 与 pattern_position 均抛 ValueError</x:v>
      </x:c>
      <x:c r="G16" s="25" t="str">
        <x:v>修复 A-01 后一致</x:v>
      </x:c>
      <x:c r="H16" s="25" t="str">
        <x:v>成员 A</x:v>
      </x:c>
      <x:c r="I16" s="29" t="str">
        <x:v>通过</x:v>
      </x:c>
      <x:c r="J16" s="25" t="str">
        <x:v>base.py::rs_blocks；util.py::pattern_position</x:v>
      </x:c>
    </x:row>
    <x:row r="17">
      <x:c r="A17" s="26" t="str">
        <x:v>TC-A-10</x:v>
      </x:c>
      <x:c r="B17" s="25" t="str">
        <x:v>RS 分组与生成多项式</x:v>
      </x:c>
      <x:c r="C17" s="25" t="str">
        <x:v>RS 块表与生成多项式须符合查找表</x:v>
      </x:c>
      <x:c r="D17" s="25" t="str">
        <x:v>场景法</x:v>
      </x:c>
      <x:c r="E17" s="25" t="str">
        <x:v>v5-Q；7 阶生成多项式</x:v>
      </x:c>
      <x:c r="F17" s="25" t="str">
        <x:v>2×(33,15)+2×(34,16)；与 LUT 一致</x:v>
      </x:c>
      <x:c r="G17" s="25" t="str">
        <x:v>与预期一致</x:v>
      </x:c>
      <x:c r="H17" s="25" t="str">
        <x:v>成员 A</x:v>
      </x:c>
      <x:c r="I17" s="29" t="str">
        <x:v>通过</x:v>
      </x:c>
      <x:c r="J17" s="25" t="str">
        <x:v>base.py；LUT.py</x:v>
      </x:c>
    </x:row>
    <x:row r="18">
      <x:c r="A18" s="26" t="str">
        <x:v>TC-A-11</x:v>
      </x:c>
      <x:c r="B18" s="25" t="str">
        <x:v>BCH 编码</x:v>
      </x:c>
      <x:c r="C18" s="25" t="str">
        <x:v>格式/版本信息采用 BCH 编码</x:v>
      </x:c>
      <x:c r="D18" s="25" t="str">
        <x:v>等价类</x:v>
      </x:c>
      <x:c r="E18" s="25" t="str">
        <x:v>L 级/掩码 0；版本 7</x:v>
      </x:c>
      <x:c r="F18" s="25" t="str">
        <x:v>111011111000100；000111110010010100</x:v>
      </x:c>
      <x:c r="G18" s="25" t="str">
        <x:v>与预期一致</x:v>
      </x:c>
      <x:c r="H18" s="25" t="str">
        <x:v>成员 A</x:v>
      </x:c>
      <x:c r="I18" s="29" t="str">
        <x:v>通过</x:v>
      </x:c>
      <x:c r="J18" s="25" t="str">
        <x:v>util.py::BCH_type_*</x:v>
      </x:c>
    </x:row>
    <x:row r="19">
      <x:c r="A19" s="26" t="str">
        <x:v>TC-A-12</x:v>
      </x:c>
      <x:c r="B19" s="25" t="str">
        <x:v>掩码与评分</x:v>
      </x:c>
      <x:c r="C19" s="25" t="str">
        <x:v>八种掩码公式和惩罚评分可重复计算</x:v>
      </x:c>
      <x:c r="D19" s="25" t="str">
        <x:v>场景法</x:v>
      </x:c>
      <x:c r="E19" s="25" t="str">
        <x:v>坐标 (1,2)；5×5 全黑矩阵</x:v>
      </x:c>
      <x:c r="F19" s="25" t="str">
        <x:v>掩码真值表；评分 178</x:v>
      </x:c>
      <x:c r="G19" s="25" t="str">
        <x:v>与预期一致</x:v>
      </x:c>
      <x:c r="H19" s="25" t="str">
        <x:v>成员 A</x:v>
      </x:c>
      <x:c r="I19" s="29" t="str">
        <x:v>通过</x:v>
      </x:c>
      <x:c r="J19" s="25" t="str">
        <x:v>util.py::mask_func；lost_point</x:v>
      </x:c>
    </x:row>
    <x:row r="20" ht="30" customHeight="1">
      <x:c r="A20" s="32" t="str">
        <x:v>备注：TC-A-09 对版本 0、41 使用参数化执行，pytest 显示 13 项；本清单按课程用例编号计 12 条。提交前须由成员 A 独立审阅并确认。</x:v>
      </x:c>
      <x:c r="B20" s="32"/>
      <x:c r="C20" s="32"/>
      <x:c r="D20" s="32"/>
      <x:c r="E20" s="32"/>
      <x:c r="F20" s="32"/>
      <x:c r="G20" s="32"/>
      <x:c r="H20" s="32"/>
      <x:c r="I20" s="32"/>
      <x:c r="J20" s="32"/>
    </x:row>
  </x:sheetData>
  <x:mergeCells>
    <x:mergeCell ref="A1:J1"/>
    <x:mergeCell ref="A2:J2"/>
    <x:mergeCell ref="A20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50" hidden="0" customWidth="1"/>
    <x:col min="5" max="5" width="20" hidden="0" customWidth="1"/>
  </x:cols>
  <x:sheetData>
    <x:row r="1" ht="28" customHeight="1">
      <x:c r="A1" s="34" t="str">
        <x:v>成员 A 执行记录与审查待办</x:v>
      </x:c>
      <x:c r="B1" s="34"/>
      <x:c r="C1" s="34"/>
      <x:c r="D1" s="34"/>
      <x:c r="E1" s="34"/>
    </x:row>
    <x:row r="3">
      <x:c r="A3" s="10" t="str">
        <x:v>执行集</x:v>
      </x:c>
      <x:c r="B3" s="10" t="str">
        <x:v>命令</x:v>
      </x:c>
      <x:c r="C3" s="10" t="str">
        <x:v>结果</x:v>
      </x:c>
      <x:c r="D3" s="10" t="str">
        <x:v>覆盖率</x:v>
      </x:c>
      <x:c r="E3" s="10" t="str">
        <x:v>说明</x:v>
      </x:c>
    </x:row>
    <x:row r="4" ht="38" customHeight="1">
      <x:c r="A4" s="25" t="str">
        <x:v>A 域测试</x:v>
      </x:c>
      <x:c r="B4" s="25" t="str">
        <x:v>python -m pytest tests/manual/test_encoding_ecc.py -q</x:v>
      </x:c>
      <x:c r="C4" s="28" t="str">
        <x:v>13 通过 / 0 失败</x:v>
      </x:c>
      <x:c r="D4" s="25" t="str">
        <x:v>总 33%；base 99%；util 84%</x:v>
      </x:c>
      <x:c r="E4" s="25" t="str">
        <x:v>TC-A-09 参数化为 2 项</x:v>
      </x:c>
    </x:row>
    <x:row r="5" ht="38" customHeight="1">
      <x:c r="A5" s="25" t="str">
        <x:v>B 基线测试</x:v>
      </x:c>
      <x:c r="B5" s="25" t="str">
        <x:v>python -m pytest tests/manual/test_object_matrix.py -q</x:v>
      </x:c>
      <x:c r="C5" s="28" t="str">
        <x:v>15 通过 / 0 失败</x:v>
      </x:c>
      <x:c r="D5" s="25" t="str">
        <x:v>总 48%；base 86%；util 88%</x:v>
      </x:c>
      <x:c r="E5" s="25" t="str">
        <x:v>A 合入前对照</x:v>
      </x:c>
    </x:row>
    <x:row r="6" ht="38" customHeight="1">
      <x:c r="A6" s="25" t="str">
        <x:v>模块一合并</x:v>
      </x:c>
      <x:c r="B6" s="25" t="str">
        <x:v>python -m pytest tests/manual -q</x:v>
      </x:c>
      <x:c r="C6" s="28" t="str">
        <x:v>28 通过 / 0 失败</x:v>
      </x:c>
      <x:c r="D6" s="25" t="str">
        <x:v>总 51%；base 99%；util 96%</x:v>
      </x:c>
      <x:c r="E6" s="25" t="str">
        <x:v>相对 B 基线总覆盖率 +3 个百分点</x:v>
      </x:c>
    </x:row>
    <x:row r="8">
      <x:c r="A8" s="10" t="str">
        <x:v>事项</x:v>
      </x:c>
      <x:c r="B8" s="10" t="str">
        <x:v>当前状态</x:v>
      </x:c>
      <x:c r="C8" s="10" t="str">
        <x:v>责任人</x:v>
      </x:c>
      <x:c r="D8" s="10" t="str">
        <x:v>证据/下一步</x:v>
      </x:c>
      <x:c r="E8" s="10" t="str">
        <x:v>截止前确认</x:v>
      </x:c>
    </x:row>
    <x:row r="9" ht="42" customHeight="1">
      <x:c r="A9" s="25" t="str">
        <x:v>A-01 交叉复现</x:v>
      </x:c>
      <x:c r="B9" s="36" t="str">
        <x:v>待实际复现</x:v>
      </x:c>
      <x:c r="C9" s="25" t="str">
        <x:v>成员 C</x:v>
      </x:c>
      <x:c r="D9" s="25" t="str">
        <x:v>按 TC-A-09 在独立环境运行并记录账号、日期和结论</x:v>
      </x:c>
      <x:c r="E9" s="25" t="str">
        <x:v>__________</x:v>
      </x:c>
    </x:row>
    <x:row r="10" ht="42" customHeight="1">
      <x:c r="A10" s="25" t="str">
        <x:v>A 审核 B 的测试与缺陷证据</x:v>
      </x:c>
      <x:c r="B10" s="36" t="str">
        <x:v>待成员 A 独立审核</x:v>
      </x:c>
      <x:c r="C10" s="25" t="str">
        <x:v>成员 A</x:v>
      </x:c>
      <x:c r="D10" s="25" t="str">
        <x:v>核对 TC-B-01~12、B-01~03 的可复现性和提交关联</x:v>
      </x:c>
      <x:c r="E10" s="25" t="str">
        <x:v>__________</x:v>
      </x:c>
    </x:row>
    <x:row r="11" ht="42" customHeight="1">
      <x:c r="A11" s="25" t="str">
        <x:v>课程提交前人工复核</x:v>
      </x:c>
      <x:c r="B11" s="36" t="str">
        <x:v>待完成</x:v>
      </x:c>
      <x:c r="C11" s="25" t="str">
        <x:v>成员 A / 小组</x:v>
      </x:c>
      <x:c r="D11" s="25" t="str">
        <x:v>确认所有测试设计、脚本和材料可作为人工成果提交</x:v>
      </x:c>
      <x:c r="E11" s="25" t="str">
        <x:v>__________</x:v>
      </x:c>
    </x:row>
  </x:sheetData>
  <x:mergeCells>
    <x:mergeCell ref="A1:E1"/>
  </x:mergeCells>
  <x:pageMargins left="0.7" right="0.7" top="0.75" bottom="0.75" header="0.3" footer="0.3"/>
</x:worksheet>
</file>